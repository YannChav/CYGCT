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nni\Documents\Codage\CYGCT\"/>
    </mc:Choice>
  </mc:AlternateContent>
  <xr:revisionPtr revIDLastSave="0" documentId="13_ncr:1_{084F913C-6552-48A4-9483-5FA695D7401C}" xr6:coauthVersionLast="47" xr6:coauthVersionMax="47" xr10:uidLastSave="{00000000-0000-0000-0000-000000000000}"/>
  <bookViews>
    <workbookView xWindow="-108" yWindow="-108" windowWidth="23256" windowHeight="12456" xr2:uid="{1B54D8C0-B097-42BA-B672-224BCA273711}"/>
  </bookViews>
  <sheets>
    <sheet name="Accueil" sheetId="1" r:id="rId1"/>
    <sheet name="MODELE SEMAINE" sheetId="3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8" i="1" l="1"/>
  <c r="C10" i="3"/>
  <c r="C11" i="3" s="1"/>
  <c r="E11" i="3"/>
  <c r="E10" i="3"/>
</calcChain>
</file>

<file path=xl/sharedStrings.xml><?xml version="1.0" encoding="utf-8"?>
<sst xmlns="http://schemas.openxmlformats.org/spreadsheetml/2006/main" count="17" uniqueCount="17">
  <si>
    <t>Planning</t>
  </si>
  <si>
    <t>Priorité</t>
  </si>
  <si>
    <t>Heure par semaine</t>
  </si>
  <si>
    <t>Horaires</t>
  </si>
  <si>
    <t>Prévisionnel</t>
  </si>
  <si>
    <t>Charge de travail prévisionnelle</t>
  </si>
  <si>
    <t>Durée 
réelle</t>
  </si>
  <si>
    <t>Pourcentage de la charge de travail</t>
  </si>
  <si>
    <t>Charge prévisonnelle</t>
  </si>
  <si>
    <t>Charge réelle</t>
  </si>
  <si>
    <t>Semaine en cours</t>
  </si>
  <si>
    <t>Restant</t>
  </si>
  <si>
    <t>Durée 
prévisionnelle</t>
  </si>
  <si>
    <t>Tâche</t>
  </si>
  <si>
    <t>Projet</t>
  </si>
  <si>
    <t>FIN PLANNING</t>
  </si>
  <si>
    <r>
      <rPr>
        <b/>
        <sz val="28"/>
        <color theme="1"/>
        <rFont val="Calibri"/>
        <family val="2"/>
        <scheme val="minor"/>
      </rPr>
      <t>CYGCT</t>
    </r>
    <r>
      <rPr>
        <sz val="22"/>
        <color theme="1"/>
        <rFont val="Calibri"/>
        <family val="2"/>
        <scheme val="minor"/>
      </rPr>
      <t xml:space="preserve">
</t>
    </r>
    <r>
      <rPr>
        <sz val="16"/>
        <color theme="1"/>
        <rFont val="Calibri"/>
        <family val="2"/>
        <scheme val="minor"/>
      </rPr>
      <t>GESTION CHARGE TRAVAIL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</si>
</sst>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[h]:mm:ss;@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4">
    <xf numFmtId="0" fontId="0" fillId="0" borderId="0" xfId="0"/>
    <xf numFmtId="0" fontId="0" fillId="4" borderId="0" xfId="0" applyFill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6" xfId="0" applyFill="1" applyBorder="1"/>
    <xf numFmtId="0" fontId="0" fillId="5" borderId="5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 applyBorder="1"/>
    <xf numFmtId="0" fontId="2" fillId="7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164" fontId="0" fillId="0" borderId="0" xfId="0" applyNumberForma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2" borderId="10" xfId="0" applyFont="1" applyFill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6" borderId="10" xfId="0" applyFont="1" applyFill="1" applyBorder="1" applyAlignment="1">
      <alignment horizontal="center" vertical="center" wrapText="1"/>
    </xf>
    <xf numFmtId="0" fontId="5" fillId="4" borderId="0" xfId="0" applyFont="1" applyFill="1" applyBorder="1"/>
    <xf numFmtId="165" fontId="5" fillId="4" borderId="0" xfId="0" applyNumberFormat="1" applyFont="1" applyFill="1" applyBorder="1"/>
    <xf numFmtId="0" fontId="0" fillId="7" borderId="11" xfId="0" applyFill="1" applyBorder="1" applyAlignment="1">
      <alignment horizontal="center" vertical="center"/>
    </xf>
    <xf numFmtId="10" fontId="0" fillId="7" borderId="12" xfId="1" applyNumberFormat="1" applyFont="1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10" fontId="0" fillId="7" borderId="14" xfId="1" applyNumberFormat="1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 wrapText="1"/>
    </xf>
    <xf numFmtId="165" fontId="0" fillId="4" borderId="0" xfId="0" applyNumberFormat="1" applyFill="1"/>
    <xf numFmtId="0" fontId="0" fillId="2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9" borderId="7" xfId="0" applyFill="1" applyBorder="1"/>
    <xf numFmtId="0" fontId="0" fillId="9" borderId="8" xfId="0" applyFill="1" applyBorder="1"/>
    <xf numFmtId="0" fontId="0" fillId="9" borderId="9" xfId="0" applyFill="1" applyBorder="1"/>
    <xf numFmtId="0" fontId="0" fillId="9" borderId="0" xfId="0" applyFill="1" applyBorder="1"/>
    <xf numFmtId="0" fontId="0" fillId="9" borderId="6" xfId="0" applyFill="1" applyBorder="1"/>
    <xf numFmtId="0" fontId="0" fillId="9" borderId="5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6" fillId="9" borderId="0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/>
    </xf>
    <xf numFmtId="0" fontId="4" fillId="2" borderId="16" xfId="0" applyFont="1" applyFill="1" applyBorder="1" applyAlignment="1">
      <alignment horizontal="center"/>
    </xf>
    <xf numFmtId="0" fontId="5" fillId="8" borderId="0" xfId="0" applyFont="1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11"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[$-F400]h:mm:ss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165" formatCode="[h]:mm:ss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FFA500"/>
      <color rgb="FFFF6347"/>
      <color rgb="FFFA8072"/>
      <color rgb="FFFF0000"/>
      <color rgb="FFEC5F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'MODELE SEMAINE'!$C$9</c:f>
              <c:strCache>
                <c:ptCount val="1"/>
                <c:pt idx="0">
                  <c:v>Charge de travail prévisionnelle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C6F-4481-B161-44028D0985BB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C6F-4481-B161-44028D0985B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'MODELE SEMAINE'!$B$10:$B$11</c:f>
              <c:strCache>
                <c:ptCount val="2"/>
                <c:pt idx="0">
                  <c:v>Prévisionnel</c:v>
                </c:pt>
                <c:pt idx="1">
                  <c:v>Restant</c:v>
                </c:pt>
              </c:strCache>
            </c:strRef>
          </c:cat>
          <c:val>
            <c:numRef>
              <c:f>'MODELE SEMAINE'!$C$10:$C$11</c:f>
              <c:numCache>
                <c:formatCode>[h]:mm:ss;@</c:formatCode>
                <c:ptCount val="2"/>
                <c:pt idx="0">
                  <c:v>0</c:v>
                </c:pt>
                <c:pt idx="1">
                  <c:v>1.4583333333333333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B5-465B-8393-1EF31ECD800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axId val="1657036416"/>
        <c:axId val="1946748560"/>
      </c:barChart>
      <c:catAx>
        <c:axId val="165703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46748560"/>
        <c:crosses val="autoZero"/>
        <c:auto val="1"/>
        <c:lblAlgn val="ctr"/>
        <c:lblOffset val="100"/>
        <c:noMultiLvlLbl val="0"/>
      </c:catAx>
      <c:valAx>
        <c:axId val="1946748560"/>
        <c:scaling>
          <c:orientation val="minMax"/>
        </c:scaling>
        <c:delete val="1"/>
        <c:axPos val="l"/>
        <c:numFmt formatCode="[h]:mm:ss;@" sourceLinked="1"/>
        <c:majorTickMark val="none"/>
        <c:minorTickMark val="none"/>
        <c:tickLblPos val="nextTo"/>
        <c:crossAx val="165703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22860</xdr:colOff>
      <xdr:row>7</xdr:row>
      <xdr:rowOff>53340</xdr:rowOff>
    </xdr:from>
    <xdr:to>
      <xdr:col>4</xdr:col>
      <xdr:colOff>327660</xdr:colOff>
      <xdr:row>8</xdr:row>
      <xdr:rowOff>175260</xdr:rowOff>
    </xdr:to>
    <xdr:pic macro="[0]!FormulairePlanning">
      <xdr:nvPicPr>
        <xdr:cNvPr id="3" name="Image 2">
          <a:extLst>
            <a:ext uri="{FF2B5EF4-FFF2-40B4-BE49-F238E27FC236}">
              <a16:creationId xmlns:a16="http://schemas.microsoft.com/office/drawing/2014/main" id="{AFAECF1E-11F2-40D8-A25A-4C156ACB1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706880"/>
          <a:ext cx="304800" cy="304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739140</xdr:colOff>
      <xdr:row>5</xdr:row>
      <xdr:rowOff>144780</xdr:rowOff>
    </xdr:from>
    <xdr:to>
      <xdr:col>5</xdr:col>
      <xdr:colOff>937260</xdr:colOff>
      <xdr:row>6</xdr:row>
      <xdr:rowOff>160020</xdr:rowOff>
    </xdr:to>
    <xdr:pic macro="[0]!FormulaireProjet">
      <xdr:nvPicPr>
        <xdr:cNvPr id="8" name="Image 7">
          <a:extLst>
            <a:ext uri="{FF2B5EF4-FFF2-40B4-BE49-F238E27FC236}">
              <a16:creationId xmlns:a16="http://schemas.microsoft.com/office/drawing/2014/main" id="{13BA0BB6-6C26-4F8D-A2D3-C139E5F27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8080" y="1074420"/>
          <a:ext cx="198120" cy="19812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228600</xdr:colOff>
      <xdr:row>5</xdr:row>
      <xdr:rowOff>129540</xdr:rowOff>
    </xdr:from>
    <xdr:to>
      <xdr:col>6</xdr:col>
      <xdr:colOff>434340</xdr:colOff>
      <xdr:row>6</xdr:row>
      <xdr:rowOff>152400</xdr:rowOff>
    </xdr:to>
    <xdr:pic macro="[0]!FormulaireTache">
      <xdr:nvPicPr>
        <xdr:cNvPr id="10" name="Image 9">
          <a:extLst>
            <a:ext uri="{FF2B5EF4-FFF2-40B4-BE49-F238E27FC236}">
              <a16:creationId xmlns:a16="http://schemas.microsoft.com/office/drawing/2014/main" id="{965764BF-5437-4FF1-A04B-48089F720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4780" y="1059180"/>
          <a:ext cx="205740" cy="205740"/>
        </a:xfrm>
        <a:prstGeom prst="rect">
          <a:avLst/>
        </a:prstGeom>
      </xdr:spPr>
    </xdr:pic>
    <xdr:clientData/>
  </xdr:twoCellAnchor>
  <xdr:twoCellAnchor>
    <xdr:from>
      <xdr:col>1</xdr:col>
      <xdr:colOff>129540</xdr:colOff>
      <xdr:row>7</xdr:row>
      <xdr:rowOff>182880</xdr:rowOff>
    </xdr:from>
    <xdr:to>
      <xdr:col>2</xdr:col>
      <xdr:colOff>2491740</xdr:colOff>
      <xdr:row>20</xdr:row>
      <xdr:rowOff>137160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D87AEE4C-1FBC-40E1-B846-8CCD36880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396B4B-94A2-4E6D-9990-5F49E8DAFCDE}" name="TAB_PLANNING" displayName="TAB_PLANNING" ref="B3:F4" totalsRowShown="0" headerRowBorderDxfId="10" tableBorderDxfId="9">
  <autoFilter ref="B3:F4" xr:uid="{AB396B4B-94A2-4E6D-9990-5F49E8DAFCDE}"/>
  <tableColumns count="5">
    <tableColumn id="1" xr3:uid="{BBB2DBB4-3D4E-404A-A462-4EF065BAB6C6}" name="Projet" dataDxfId="8"/>
    <tableColumn id="2" xr3:uid="{1E7835E2-B735-4D01-9C2B-B8E4A8782310}" name="Tâche" dataDxfId="7"/>
    <tableColumn id="3" xr3:uid="{2547E46B-CD28-4061-A88A-E2A38FD25DC1}" name="Priorité" dataDxfId="6"/>
    <tableColumn id="4" xr3:uid="{041E4336-33FD-40CF-B236-29139330DA0B}" name="Durée _x000a_prévisionnelle" dataDxfId="5"/>
    <tableColumn id="5" xr3:uid="{873649FE-B4ED-4AD5-8822-AF36942F0DA1}" name="Durée _x000a_réelle" dataDxfId="4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944AE10-31C2-4F02-8E1E-1A699E9C0775}" name="TAB_DIAGR_CHARGE" displayName="TAB_DIAGR_CHARGE" ref="B9:C11" totalsRowShown="0" headerRowDxfId="3" dataDxfId="2">
  <autoFilter ref="B9:C11" xr:uid="{9944AE10-31C2-4F02-8E1E-1A699E9C0775}">
    <filterColumn colId="0" hiddenButton="1"/>
    <filterColumn colId="1" hiddenButton="1"/>
  </autoFilter>
  <tableColumns count="2">
    <tableColumn id="1" xr3:uid="{CDC016C4-4961-4F0E-88C4-A5D20A577646}" name="Horaires" dataDxfId="1"/>
    <tableColumn id="2" xr3:uid="{9385205C-15D0-47B7-951D-03F719DBAB38}" name="Charge de travail prévisionnelle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85475-2E03-4F9A-A81D-87A32A0170A6}">
  <sheetPr codeName="Feuil1"/>
  <dimension ref="A1:F10"/>
  <sheetViews>
    <sheetView tabSelected="1" zoomScaleNormal="100" workbookViewId="0">
      <selection activeCell="J8" sqref="J8"/>
    </sheetView>
  </sheetViews>
  <sheetFormatPr baseColWidth="10" defaultRowHeight="14.4" x14ac:dyDescent="0.3"/>
  <cols>
    <col min="1" max="1" width="10.88671875" style="1" customWidth="1"/>
    <col min="2" max="2" width="17.88671875" style="1" customWidth="1"/>
    <col min="3" max="3" width="9.33203125" style="1" customWidth="1"/>
    <col min="4" max="4" width="7.88671875" style="1" customWidth="1"/>
    <col min="5" max="5" width="11.88671875" style="1" customWidth="1"/>
    <col min="6" max="6" width="11.109375" style="1" customWidth="1"/>
    <col min="7" max="16384" width="11.5546875" style="1"/>
  </cols>
  <sheetData>
    <row r="1" spans="1:6" x14ac:dyDescent="0.3">
      <c r="A1" s="35"/>
      <c r="B1" s="36"/>
      <c r="C1" s="36"/>
      <c r="D1" s="36"/>
      <c r="E1" s="36"/>
      <c r="F1" s="37"/>
    </row>
    <row r="2" spans="1:6" ht="28.8" customHeight="1" x14ac:dyDescent="0.3">
      <c r="A2" s="34"/>
      <c r="B2" s="38" t="s">
        <v>16</v>
      </c>
      <c r="C2" s="39"/>
      <c r="D2" s="39"/>
      <c r="E2" s="39"/>
      <c r="F2" s="33"/>
    </row>
    <row r="3" spans="1:6" ht="14.4" customHeight="1" x14ac:dyDescent="0.3">
      <c r="A3" s="34"/>
      <c r="B3" s="39"/>
      <c r="C3" s="39"/>
      <c r="D3" s="39"/>
      <c r="E3" s="39"/>
      <c r="F3" s="33"/>
    </row>
    <row r="4" spans="1:6" ht="14.4" customHeight="1" x14ac:dyDescent="0.3">
      <c r="A4" s="34"/>
      <c r="B4" s="39"/>
      <c r="C4" s="39"/>
      <c r="D4" s="39"/>
      <c r="E4" s="39"/>
      <c r="F4" s="33"/>
    </row>
    <row r="5" spans="1:6" ht="14.4" customHeight="1" x14ac:dyDescent="0.3">
      <c r="A5" s="34"/>
      <c r="B5" s="39"/>
      <c r="C5" s="39"/>
      <c r="D5" s="39"/>
      <c r="E5" s="39"/>
      <c r="F5" s="33"/>
    </row>
    <row r="6" spans="1:6" x14ac:dyDescent="0.3">
      <c r="A6" s="34"/>
      <c r="B6" s="39"/>
      <c r="C6" s="39"/>
      <c r="D6" s="39"/>
      <c r="E6" s="39"/>
      <c r="F6" s="33"/>
    </row>
    <row r="7" spans="1:6" x14ac:dyDescent="0.3">
      <c r="A7" s="34"/>
      <c r="B7" s="32"/>
      <c r="C7" s="32"/>
      <c r="D7" s="32"/>
      <c r="E7" s="32"/>
      <c r="F7" s="33"/>
    </row>
    <row r="8" spans="1:6" x14ac:dyDescent="0.3">
      <c r="A8" s="34"/>
      <c r="B8" s="26" t="s">
        <v>10</v>
      </c>
      <c r="C8" s="27">
        <f ca="1">WEEKNUM(TODAY())</f>
        <v>42</v>
      </c>
      <c r="D8" s="32"/>
      <c r="E8" s="32"/>
      <c r="F8" s="33"/>
    </row>
    <row r="9" spans="1:6" x14ac:dyDescent="0.3">
      <c r="A9" s="34"/>
      <c r="B9" s="26" t="s">
        <v>2</v>
      </c>
      <c r="C9" s="28">
        <v>1.4583333333333333</v>
      </c>
      <c r="D9" s="32"/>
      <c r="E9" s="32"/>
      <c r="F9" s="33"/>
    </row>
    <row r="10" spans="1:6" ht="15" thickBot="1" x14ac:dyDescent="0.35">
      <c r="A10" s="29"/>
      <c r="B10" s="30"/>
      <c r="C10" s="30"/>
      <c r="D10" s="30"/>
      <c r="E10" s="30"/>
      <c r="F10" s="31"/>
    </row>
  </sheetData>
  <mergeCells count="1">
    <mergeCell ref="B2:E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EB8D6-B944-49FF-98EE-C98084E43E9C}">
  <sheetPr codeName="Feuil3"/>
  <dimension ref="A1:I16"/>
  <sheetViews>
    <sheetView workbookViewId="0">
      <selection activeCell="D4" sqref="D4"/>
    </sheetView>
  </sheetViews>
  <sheetFormatPr baseColWidth="10" defaultRowHeight="14.4" x14ac:dyDescent="0.3"/>
  <cols>
    <col min="1" max="1" width="7.6640625" style="1" customWidth="1"/>
    <col min="2" max="2" width="23.5546875" style="1" customWidth="1"/>
    <col min="3" max="3" width="44.6640625" style="1" customWidth="1"/>
    <col min="4" max="4" width="22.77734375" style="1" customWidth="1"/>
    <col min="5" max="6" width="15" style="1" customWidth="1"/>
    <col min="7" max="7" width="7.6640625" style="1" customWidth="1"/>
    <col min="8" max="16384" width="11.5546875" style="1"/>
  </cols>
  <sheetData>
    <row r="1" spans="1:9" x14ac:dyDescent="0.3">
      <c r="A1" s="7"/>
      <c r="B1" s="8"/>
      <c r="C1" s="8"/>
      <c r="D1" s="8"/>
      <c r="E1" s="8"/>
      <c r="F1" s="8"/>
      <c r="G1" s="9"/>
    </row>
    <row r="2" spans="1:9" ht="15.6" x14ac:dyDescent="0.3">
      <c r="A2" s="6"/>
      <c r="B2" s="40" t="s">
        <v>0</v>
      </c>
      <c r="C2" s="40"/>
      <c r="D2" s="40"/>
      <c r="E2" s="40"/>
      <c r="F2" s="40"/>
      <c r="G2" s="5"/>
    </row>
    <row r="3" spans="1:9" ht="28.8" x14ac:dyDescent="0.3">
      <c r="A3" s="6"/>
      <c r="B3" s="15" t="s">
        <v>14</v>
      </c>
      <c r="C3" s="15" t="s">
        <v>13</v>
      </c>
      <c r="D3" s="16" t="s">
        <v>1</v>
      </c>
      <c r="E3" s="16" t="s">
        <v>12</v>
      </c>
      <c r="F3" s="17" t="s">
        <v>6</v>
      </c>
      <c r="G3" s="5"/>
    </row>
    <row r="4" spans="1:9" x14ac:dyDescent="0.3">
      <c r="A4" s="6"/>
      <c r="B4" s="11"/>
      <c r="C4" s="12"/>
      <c r="D4" s="14"/>
      <c r="E4" s="24"/>
      <c r="F4" s="13"/>
      <c r="G4" s="5"/>
    </row>
    <row r="5" spans="1:9" hidden="1" x14ac:dyDescent="0.3">
      <c r="A5" s="6"/>
      <c r="B5" s="43" t="s">
        <v>15</v>
      </c>
      <c r="C5" s="43"/>
      <c r="D5" s="43"/>
      <c r="E5" s="43"/>
      <c r="F5" s="43"/>
      <c r="G5" s="5"/>
    </row>
    <row r="6" spans="1:9" x14ac:dyDescent="0.3">
      <c r="A6" s="6"/>
      <c r="B6" s="10"/>
      <c r="C6" s="10"/>
      <c r="D6" s="10"/>
      <c r="E6" s="10"/>
      <c r="F6" s="10"/>
      <c r="G6" s="5"/>
    </row>
    <row r="7" spans="1:9" ht="15" thickBot="1" x14ac:dyDescent="0.35">
      <c r="A7" s="2"/>
      <c r="B7" s="3"/>
      <c r="C7" s="3"/>
      <c r="D7" s="3"/>
      <c r="E7" s="3"/>
      <c r="F7" s="3"/>
      <c r="G7" s="4"/>
    </row>
    <row r="8" spans="1:9" ht="15" thickBot="1" x14ac:dyDescent="0.35"/>
    <row r="9" spans="1:9" ht="15" thickBot="1" x14ac:dyDescent="0.35">
      <c r="B9" s="18" t="s">
        <v>3</v>
      </c>
      <c r="C9" s="18" t="s">
        <v>5</v>
      </c>
      <c r="D9" s="41" t="s">
        <v>7</v>
      </c>
      <c r="E9" s="42"/>
    </row>
    <row r="10" spans="1:9" x14ac:dyDescent="0.3">
      <c r="B10" s="18" t="s">
        <v>4</v>
      </c>
      <c r="C10" s="19">
        <f>SUM(TAB_PLANNING[Durée 
prévisionnelle])</f>
        <v>0</v>
      </c>
      <c r="D10" s="20" t="s">
        <v>8</v>
      </c>
      <c r="E10" s="21">
        <f>SUM(TAB_PLANNING[Durée 
prévisionnelle])/Accueil!C9</f>
        <v>0</v>
      </c>
    </row>
    <row r="11" spans="1:9" ht="15" thickBot="1" x14ac:dyDescent="0.35">
      <c r="B11" s="18" t="s">
        <v>11</v>
      </c>
      <c r="C11" s="19">
        <f>IF(Accueil!C9-C10 &lt; 0, 0, Accueil!C9-C10)</f>
        <v>1.4583333333333333</v>
      </c>
      <c r="D11" s="22" t="s">
        <v>9</v>
      </c>
      <c r="E11" s="23">
        <f>SUM(TAB_PLANNING[Durée 
réelle])/Accueil!C9</f>
        <v>0</v>
      </c>
    </row>
    <row r="16" spans="1:9" x14ac:dyDescent="0.3">
      <c r="I16" s="25"/>
    </row>
  </sheetData>
  <dataConsolidate/>
  <mergeCells count="3">
    <mergeCell ref="B2:F2"/>
    <mergeCell ref="D9:E9"/>
    <mergeCell ref="B5:F5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Accueil</vt:lpstr>
      <vt:lpstr>MODELE SEMAINE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Yannick CHAVANIS</dc:creator>
  <cp:lastModifiedBy>Yannick CHAVANIS</cp:lastModifiedBy>
  <dcterms:created xsi:type="dcterms:W3CDTF">2022-10-10T13:22:23Z</dcterms:created>
  <dcterms:modified xsi:type="dcterms:W3CDTF">2022-10-14T09:00:58Z</dcterms:modified>
</cp:coreProperties>
</file>